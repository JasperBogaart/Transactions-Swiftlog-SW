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overzicht" sheetId="1" state="visible" r:id="rId1"/>
    <sheet name="Voorraad ontwikkeling" sheetId="2" state="visible" r:id="rId2"/>
    <sheet name="Grafieken" sheetId="3" state="visible" r:id="rId3"/>
    <sheet name="Bronbestanden" sheetId="4" state="visible" r:id="rId4"/>
  </sheets>
  <definedNames>
    <definedName name="_xlnm._FilterDatabase" localSheetId="0" hidden="1">'Management overzicht'!$A$2:$J$8</definedName>
    <definedName name="_xlnm._FilterDatabase" localSheetId="1" hidden="1">'Voorraad ontwikkeling'!$A$1:$F$7</definedName>
    <definedName name="_xlnm.Print_Area" localSheetId="2">'Grafieken'!$A$1:$N$42</definedName>
    <definedName name="_xlnm._FilterDatabase" localSheetId="3" hidden="1">'Bronbestanden'!$A$1:$C$7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bottom style="thin">
        <color rgb="00A6A6A6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2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Cumulatief voorraadverschil</a:t>
            </a:r>
          </a:p>
        </rich>
      </tx>
    </title>
    <plotArea>
      <lineChart>
        <grouping val="standard"/>
        <ser>
          <idx val="0"/>
          <order val="0"/>
          <tx>
            <strRef>
              <f>'Voorraad ontwikkeling'!F1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'Voorraad ontwikkeling'!$B$2:$B$7</f>
            </strRef>
          </cat>
          <val>
            <numRef>
              <f>'Voorraad ontwikkeling'!$F$2:$F$7</f>
            </numRef>
          </val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  <tickLblSkip val="1"/>
        <tickMark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Pallets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Binnengekomen pallets vs uitgaande pallets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'Voorraad ontwikkeling'!C1</f>
            </strRef>
          </tx>
          <spPr>
            <a:ln>
              <a:prstDash val="solid"/>
            </a:ln>
          </spPr>
          <cat>
            <strRef>
              <f>'Voorraad ontwikkeling'!$B$2:$B$7</f>
            </strRef>
          </cat>
          <val>
            <numRef>
              <f>'Voorraad ontwikkeling'!$C$2:$C$7</f>
            </numRef>
          </val>
        </ser>
        <ser>
          <idx val="1"/>
          <order val="1"/>
          <tx>
            <strRef>
              <f>'Voorraad ontwikkeling'!D1</f>
            </strRef>
          </tx>
          <spPr>
            <a:ln>
              <a:prstDash val="solid"/>
            </a:ln>
          </spPr>
          <cat>
            <strRef>
              <f>'Voorraad ontwikkeling'!$B$2:$B$7</f>
            </strRef>
          </cat>
          <val>
            <numRef>
              <f>'Voorraad ontwikkeling'!$D$2:$D$7</f>
            </numRef>
          </val>
        </ser>
        <dLbls>
          <dLblPos val="in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  <tickLblSkip val="1"/>
        <tickMark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Aantal pallets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0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90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8" customWidth="1" min="5" max="5"/>
    <col width="17" customWidth="1" min="6" max="6"/>
    <col width="10" customWidth="1" min="7" max="7"/>
    <col width="15" customWidth="1" min="8" max="8"/>
    <col width="15" customWidth="1" min="9" max="9"/>
    <col width="19" customWidth="1" min="10" max="10"/>
  </cols>
  <sheetData>
    <row r="1">
      <c r="A1" s="1" t="inlineStr">
        <is>
          <t>Week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  <c r="J1" s="3" t="inlineStr">
        <is>
          <t>Uren toegestaan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  <c r="J2" s="3" t="n"/>
    </row>
    <row r="3">
      <c r="A3" s="4" t="inlineStr">
        <is>
          <t>W14</t>
        </is>
      </c>
      <c r="B3" s="5" t="n">
        <v>942</v>
      </c>
      <c r="C3" s="5" t="n">
        <v>1151</v>
      </c>
      <c r="D3" s="5" t="n">
        <v>1981</v>
      </c>
      <c r="E3" s="5" t="n">
        <v>3</v>
      </c>
      <c r="F3" s="5" t="n">
        <v>4483</v>
      </c>
      <c r="G3" s="5" t="n">
        <v>0</v>
      </c>
      <c r="H3" s="5" t="n">
        <v>0</v>
      </c>
      <c r="I3" s="5" t="n">
        <v>8560</v>
      </c>
      <c r="J3" s="6" t="n">
        <v>420.078</v>
      </c>
    </row>
    <row r="4">
      <c r="A4" s="4" t="inlineStr">
        <is>
          <t>W15</t>
        </is>
      </c>
      <c r="B4" s="5" t="n">
        <v>1006</v>
      </c>
      <c r="C4" s="5" t="n">
        <v>947</v>
      </c>
      <c r="D4" s="5" t="n">
        <v>1167</v>
      </c>
      <c r="E4" s="5" t="n">
        <v>0</v>
      </c>
      <c r="F4" s="5" t="n">
        <v>1683</v>
      </c>
      <c r="G4" s="5" t="n">
        <v>0</v>
      </c>
      <c r="H4" s="5" t="n">
        <v>0</v>
      </c>
      <c r="I4" s="5" t="n">
        <v>4803</v>
      </c>
      <c r="J4" s="6" t="n">
        <v>232.0331666666667</v>
      </c>
    </row>
    <row r="5">
      <c r="A5" s="4" t="inlineStr">
        <is>
          <t>W16</t>
        </is>
      </c>
      <c r="B5" s="5" t="n">
        <v>1593</v>
      </c>
      <c r="C5" s="5" t="n">
        <v>1485</v>
      </c>
      <c r="D5" s="5" t="n">
        <v>1273</v>
      </c>
      <c r="E5" s="5" t="n">
        <v>0</v>
      </c>
      <c r="F5" s="5" t="n">
        <v>1532</v>
      </c>
      <c r="G5" s="5" t="n">
        <v>0</v>
      </c>
      <c r="H5" s="5" t="n">
        <v>11</v>
      </c>
      <c r="I5" s="5" t="n">
        <v>5894</v>
      </c>
      <c r="J5" s="6" t="n">
        <v>284.2051666666667</v>
      </c>
    </row>
    <row r="6">
      <c r="A6" s="4" t="inlineStr">
        <is>
          <t>W17</t>
        </is>
      </c>
      <c r="B6" s="5" t="n">
        <v>1462</v>
      </c>
      <c r="C6" s="5" t="n">
        <v>1716</v>
      </c>
      <c r="D6" s="5" t="n">
        <v>2003</v>
      </c>
      <c r="E6" s="5" t="n">
        <v>2</v>
      </c>
      <c r="F6" s="5" t="n">
        <v>2086</v>
      </c>
      <c r="G6" s="5" t="n">
        <v>0</v>
      </c>
      <c r="H6" s="5" t="n">
        <v>8</v>
      </c>
      <c r="I6" s="5" t="n">
        <v>7277</v>
      </c>
      <c r="J6" s="6" t="n">
        <v>341.0965</v>
      </c>
    </row>
    <row r="7">
      <c r="A7" s="4" t="inlineStr">
        <is>
          <t>W18</t>
        </is>
      </c>
      <c r="B7" s="5" t="n">
        <v>1088</v>
      </c>
      <c r="C7" s="5" t="n">
        <v>988</v>
      </c>
      <c r="D7" s="5" t="n">
        <v>1379</v>
      </c>
      <c r="E7" s="5" t="n">
        <v>982</v>
      </c>
      <c r="F7" s="5" t="n">
        <v>785</v>
      </c>
      <c r="G7" s="5" t="n">
        <v>2</v>
      </c>
      <c r="H7" s="5" t="n">
        <v>3</v>
      </c>
      <c r="I7" s="5" t="n">
        <v>5227</v>
      </c>
      <c r="J7" s="6" t="n">
        <v>251.7676666666667</v>
      </c>
    </row>
    <row r="8">
      <c r="A8" s="4" t="inlineStr">
        <is>
          <t>W19</t>
        </is>
      </c>
      <c r="B8" s="5" t="n">
        <v>1568</v>
      </c>
      <c r="C8" s="5" t="n">
        <v>1568</v>
      </c>
      <c r="D8" s="5" t="n">
        <v>2103</v>
      </c>
      <c r="E8" s="5" t="n">
        <v>1675</v>
      </c>
      <c r="F8" s="5" t="n">
        <v>914</v>
      </c>
      <c r="G8" s="5" t="n">
        <v>10</v>
      </c>
      <c r="H8" s="5" t="n">
        <v>1</v>
      </c>
      <c r="I8" s="5" t="n">
        <v>7839</v>
      </c>
      <c r="J8" s="6" t="n">
        <v>376.6386666666667</v>
      </c>
    </row>
  </sheetData>
  <autoFilter ref="A2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19" customWidth="1" min="4" max="4"/>
    <col width="10" customWidth="1" min="5" max="5"/>
    <col width="21" customWidth="1" min="6" max="6"/>
  </cols>
  <sheetData>
    <row r="1">
      <c r="A1" s="7" t="inlineStr">
        <is>
          <t>Week</t>
        </is>
      </c>
      <c r="B1" s="8" t="inlineStr">
        <is>
          <t>Grafiek week</t>
        </is>
      </c>
      <c r="C1" s="8" t="inlineStr">
        <is>
          <t>Binnengekomen pallets</t>
        </is>
      </c>
      <c r="D1" s="8" t="inlineStr">
        <is>
          <t>Uitgaande pallets</t>
        </is>
      </c>
      <c r="E1" s="8" t="inlineStr">
        <is>
          <t>Verschil</t>
        </is>
      </c>
      <c r="F1" s="8" t="inlineStr">
        <is>
          <t>Cumulatief verschil</t>
        </is>
      </c>
    </row>
    <row r="2">
      <c r="A2" s="9" t="inlineStr">
        <is>
          <t>W14</t>
        </is>
      </c>
      <c r="B2" s="10" t="inlineStr">
        <is>
          <t>14</t>
        </is>
      </c>
      <c r="C2" s="10" t="n">
        <v>1981</v>
      </c>
      <c r="D2" s="10" t="n">
        <v>1151</v>
      </c>
      <c r="E2" s="10" t="n">
        <v>830</v>
      </c>
      <c r="F2" s="10" t="n">
        <v>830</v>
      </c>
    </row>
    <row r="3">
      <c r="A3" s="9" t="inlineStr">
        <is>
          <t>W15</t>
        </is>
      </c>
      <c r="B3" s="10" t="inlineStr">
        <is>
          <t>15</t>
        </is>
      </c>
      <c r="C3" s="10" t="n">
        <v>1167</v>
      </c>
      <c r="D3" s="10" t="n">
        <v>947</v>
      </c>
      <c r="E3" s="10" t="n">
        <v>220</v>
      </c>
      <c r="F3" s="10" t="n">
        <v>1050</v>
      </c>
    </row>
    <row r="4">
      <c r="A4" s="9" t="inlineStr">
        <is>
          <t>W16</t>
        </is>
      </c>
      <c r="B4" s="10" t="inlineStr">
        <is>
          <t>16</t>
        </is>
      </c>
      <c r="C4" s="10" t="n">
        <v>1273</v>
      </c>
      <c r="D4" s="10" t="n">
        <v>1485</v>
      </c>
      <c r="E4" s="10" t="n">
        <v>-212</v>
      </c>
      <c r="F4" s="10" t="n">
        <v>838</v>
      </c>
    </row>
    <row r="5">
      <c r="A5" s="9" t="inlineStr">
        <is>
          <t>W17</t>
        </is>
      </c>
      <c r="B5" s="10" t="inlineStr">
        <is>
          <t>17</t>
        </is>
      </c>
      <c r="C5" s="10" t="n">
        <v>2003</v>
      </c>
      <c r="D5" s="10" t="n">
        <v>1716</v>
      </c>
      <c r="E5" s="10" t="n">
        <v>287</v>
      </c>
      <c r="F5" s="10" t="n">
        <v>1125</v>
      </c>
    </row>
    <row r="6">
      <c r="A6" s="9" t="inlineStr">
        <is>
          <t>W18</t>
        </is>
      </c>
      <c r="B6" s="10" t="inlineStr">
        <is>
          <t>18</t>
        </is>
      </c>
      <c r="C6" s="10" t="n">
        <v>1379</v>
      </c>
      <c r="D6" s="10" t="n">
        <v>988</v>
      </c>
      <c r="E6" s="10" t="n">
        <v>391</v>
      </c>
      <c r="F6" s="10" t="n">
        <v>1516</v>
      </c>
    </row>
    <row r="7">
      <c r="A7" s="9" t="inlineStr">
        <is>
          <t>W19</t>
        </is>
      </c>
      <c r="B7" s="10" t="inlineStr">
        <is>
          <t>19</t>
        </is>
      </c>
      <c r="C7" s="10" t="n">
        <v>2103</v>
      </c>
      <c r="D7" s="10" t="n">
        <v>1568</v>
      </c>
      <c r="E7" s="10" t="n">
        <v>535</v>
      </c>
      <c r="F7" s="10" t="n">
        <v>2051</v>
      </c>
    </row>
  </sheetData>
  <autoFilter ref="A1:F7"/>
  <conditionalFormatting sqref="E2:E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</sheetData>
  <pageMargins left="0.25" right="0.25" top="0.35" bottom="0.35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80" customWidth="1" min="3" max="3"/>
  </cols>
  <sheetData>
    <row r="1">
      <c r="A1" s="11" t="inlineStr">
        <is>
          <t>Nr</t>
        </is>
      </c>
      <c r="B1" s="11" t="inlineStr">
        <is>
          <t>Bestand</t>
        </is>
      </c>
      <c r="C1" s="11" t="inlineStr">
        <is>
          <t>Pad</t>
        </is>
      </c>
    </row>
    <row r="2">
      <c r="A2" s="12" t="n">
        <v>1</v>
      </c>
      <c r="B2" s="12" t="inlineStr">
        <is>
          <t>Transactie Overzicht Week 2026-W14.xlsx</t>
        </is>
      </c>
      <c r="C2" s="12" t="inlineStr">
        <is>
          <t>C:\Users\jaspe\Envs\transactions\Transactions V4.0\data\per week\Transactie Overzicht Week 2026-W14.xlsx</t>
        </is>
      </c>
    </row>
    <row r="3">
      <c r="A3" s="12" t="n">
        <v>2</v>
      </c>
      <c r="B3" s="12" t="inlineStr">
        <is>
          <t>Transactie Overzicht Week 2026-W15.xlsx</t>
        </is>
      </c>
      <c r="C3" s="12" t="inlineStr">
        <is>
          <t>C:\Users\jaspe\Envs\transactions\Transactions V4.0\data\per week\Transactie Overzicht Week 2026-W15.xlsx</t>
        </is>
      </c>
    </row>
    <row r="4">
      <c r="A4" s="12" t="n">
        <v>3</v>
      </c>
      <c r="B4" s="12" t="inlineStr">
        <is>
          <t>Transactie Overzicht Week 2026-W16.xlsx</t>
        </is>
      </c>
      <c r="C4" s="12" t="inlineStr">
        <is>
          <t>C:\Users\jaspe\Envs\transactions\Transactions V4.0\data\per week\Transactie Overzicht Week 2026-W16.xlsx</t>
        </is>
      </c>
    </row>
    <row r="5">
      <c r="A5" s="12" t="n">
        <v>4</v>
      </c>
      <c r="B5" s="12" t="inlineStr">
        <is>
          <t>Transactie Overzicht Week 2026-W17.xlsx</t>
        </is>
      </c>
      <c r="C5" s="12" t="inlineStr">
        <is>
          <t>C:\Users\jaspe\Envs\transactions\Transactions V4.0\data\per week\Transactie Overzicht Week 2026-W17.xlsx</t>
        </is>
      </c>
    </row>
    <row r="6">
      <c r="A6" s="12" t="n">
        <v>5</v>
      </c>
      <c r="B6" s="12" t="inlineStr">
        <is>
          <t>Transactie Overzicht Week 2026-W18.xlsx</t>
        </is>
      </c>
      <c r="C6" s="12" t="inlineStr">
        <is>
          <t>C:\Users\jaspe\Envs\transactions\Transactions V4.0\data\per week\Transactie Overzicht Week 2026-W18.xlsx</t>
        </is>
      </c>
    </row>
    <row r="7">
      <c r="A7" s="12" t="n">
        <v>6</v>
      </c>
      <c r="B7" s="12" t="inlineStr">
        <is>
          <t>Transactie Overzicht Week 2026-W19.xlsx</t>
        </is>
      </c>
      <c r="C7" s="12" t="inlineStr">
        <is>
          <t>C:\Users\jaspe\Envs\transactions\Transactions V4.0\data\per week\Transactie Overzicht Week 2026-W19.xlsx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2026-05-13T21:58:31Z</dcterms:created>
  <dcterms:modified xsi:type="dcterms:W3CDTF">2026-05-13T21:58:31Z</dcterms:modified>
</cp:coreProperties>
</file>